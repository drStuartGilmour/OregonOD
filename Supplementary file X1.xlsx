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ustus/Stuart研 Dropbox/Stuart Gilmour/Research Current/Speculation/Oregon OD/"/>
    </mc:Choice>
  </mc:AlternateContent>
  <xr:revisionPtr revIDLastSave="0" documentId="13_ncr:1_{C3F556FC-769C-9642-AA5B-A27A45F46349}" xr6:coauthVersionLast="47" xr6:coauthVersionMax="47" xr10:uidLastSave="{00000000-0000-0000-0000-000000000000}"/>
  <bookViews>
    <workbookView xWindow="-30300" yWindow="1620" windowWidth="28040" windowHeight="17440" xr2:uid="{F066FDDE-E65C-7A4E-956A-295A241AB30B}"/>
  </bookViews>
  <sheets>
    <sheet name="Oregon" sheetId="1" r:id="rId1"/>
    <sheet name="California" sheetId="2" r:id="rId2"/>
    <sheet name="Washington" sheetId="3" r:id="rId3"/>
    <sheet name="Nevada" sheetId="4" r:id="rId4"/>
    <sheet name="Idaho" sheetId="5" r:id="rId5"/>
    <sheet name="Wrong model for Oregon" sheetId="7" r:id="rId6"/>
    <sheet name="Diff-in-diff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K9" i="5"/>
  <c r="J9" i="5"/>
  <c r="I9" i="5"/>
  <c r="K8" i="5"/>
  <c r="J8" i="5"/>
  <c r="I8" i="5"/>
  <c r="K8" i="4"/>
  <c r="J8" i="4"/>
  <c r="I8" i="4"/>
  <c r="K7" i="4"/>
  <c r="J7" i="4"/>
  <c r="I7" i="4"/>
  <c r="K11" i="3"/>
  <c r="J11" i="3"/>
  <c r="I11" i="3"/>
  <c r="K10" i="3"/>
  <c r="J10" i="3"/>
  <c r="I10" i="3"/>
  <c r="K8" i="2"/>
  <c r="J8" i="2"/>
  <c r="I8" i="2"/>
  <c r="K7" i="2"/>
  <c r="J7" i="2"/>
  <c r="I7" i="2"/>
  <c r="K10" i="1"/>
  <c r="K9" i="1"/>
  <c r="J10" i="1"/>
  <c r="J9" i="1"/>
  <c r="I10" i="1"/>
  <c r="I9" i="1"/>
</calcChain>
</file>

<file path=xl/sharedStrings.xml><?xml version="1.0" encoding="utf-8"?>
<sst xmlns="http://schemas.openxmlformats.org/spreadsheetml/2006/main" count="288" uniqueCount="114">
  <si>
    <t>.         poisson deaths tVar1 i.tStep1 i.tStep1#c.tVar1 if stateVal==4,offset(offS)</t>
  </si>
  <si>
    <t xml:space="preserve">Iteration 0:  Log likelihood = -357.07617  </t>
  </si>
  <si>
    <t xml:space="preserve">Iteration 1:  Log likelihood = -356.11518  </t>
  </si>
  <si>
    <t xml:space="preserve">Iteration 2:  Log likelihood = -356.11501  </t>
  </si>
  <si>
    <t xml:space="preserve">Iteration 3:  Log likelihood = -356.11501  </t>
  </si>
  <si>
    <t>Poisson regression                                     Number of obs =     105</t>
  </si>
  <si>
    <t>Prob &gt; chi2   =  0.0000</t>
  </si>
  <si>
    <t>Log likelihood = -356.11501                            Pseudo R2     =  0.7106</t>
  </si>
  <si>
    <t>deaths</t>
  </si>
  <si>
    <t>Coefficient</t>
  </si>
  <si>
    <t>Std. err.</t>
  </si>
  <si>
    <t>z</t>
  </si>
  <si>
    <t>P&gt;z</t>
  </si>
  <si>
    <t>[95% conf.</t>
  </si>
  <si>
    <t>interval]</t>
  </si>
  <si>
    <t>tVar1</t>
  </si>
  <si>
    <t>1.tStep1</t>
  </si>
  <si>
    <t>tStep1#c.tVar1</t>
  </si>
  <si>
    <t>_cons</t>
  </si>
  <si>
    <t>offS</t>
  </si>
  <si>
    <t>(offset)</t>
  </si>
  <si>
    <t xml:space="preserve">                                                       LR chi2(3)    = 1748.73</t>
  </si>
  <si>
    <t xml:space="preserve">                                                       Prob &gt; chi2   =  0.0000</t>
  </si>
  <si>
    <t>tVar3</t>
  </si>
  <si>
    <t>1.tStep3</t>
  </si>
  <si>
    <t>tStep3#c.tVar3</t>
  </si>
  <si>
    <t>tVar2</t>
  </si>
  <si>
    <t>1.tStep2</t>
  </si>
  <si>
    <t>tStep2#c.tVar2</t>
  </si>
  <si>
    <t>.         poisson deaths tVar2</t>
  </si>
  <si>
    <t>i.tStep2 i.tStep2#c.tVar2 if stateVal==1,offset(offS)</t>
  </si>
  <si>
    <t>Iteration 0:  Log likelihood =</t>
  </si>
  <si>
    <t>Iteration 1:  Log likelihood =</t>
  </si>
  <si>
    <t>Iteration 2:  Log likelihood =</t>
  </si>
  <si>
    <t>Poisson regression</t>
  </si>
  <si>
    <t>Number of obs =      105</t>
  </si>
  <si>
    <t>LR chi2(3)    = 12511.02</t>
  </si>
  <si>
    <t>Prob &gt; chi2   =   0.0000</t>
  </si>
  <si>
    <t>Log likelihood = -591.83284</t>
  </si>
  <si>
    <t>Pseudo R2     =   0.9136</t>
  </si>
  <si>
    <t>i.tStep2 i.tStep2#c.tVar2 if stateVal==5,offset(offS)</t>
  </si>
  <si>
    <t>Number of obs =     105</t>
  </si>
  <si>
    <t>LR chi2(3)    = 2942.76</t>
  </si>
  <si>
    <t>Log likelihood = -423.93526</t>
  </si>
  <si>
    <t>Pseudo R2     =  0.7763</t>
  </si>
  <si>
    <t>.         poisson deaths tVar3</t>
  </si>
  <si>
    <t>i.tStep3 i.tStep3#c.tVar3 if stateVal==3,offset(offS)</t>
  </si>
  <si>
    <t>Number of obs =    105</t>
  </si>
  <si>
    <t>LR chi2(3)    = 344.14</t>
  </si>
  <si>
    <t>Prob &gt; chi2   = 0.0000</t>
  </si>
  <si>
    <t>Log likelihood = -357.29561</t>
  </si>
  <si>
    <t>Pseudo R2     = 0.3251</t>
  </si>
  <si>
    <t>tVar4</t>
  </si>
  <si>
    <t>1.tStep4</t>
  </si>
  <si>
    <t>tStep4#c.tVar4</t>
  </si>
  <si>
    <t>.         poisson deaths tVar4</t>
  </si>
  <si>
    <t>i.tStep4 i.tStep4#c.tVar4 if stateVal==2,offset(offS)</t>
  </si>
  <si>
    <t>Number of obs =     56</t>
  </si>
  <si>
    <t>LR chi2(3)    =  44.79</t>
  </si>
  <si>
    <t>Log likelihood = -150.11482</t>
  </si>
  <si>
    <t>Pseudo R2     = 0.1298</t>
  </si>
  <si>
    <t>IRR</t>
  </si>
  <si>
    <t>1.intVal</t>
  </si>
  <si>
    <t>tImpl</t>
  </si>
  <si>
    <t>1.stepVal</t>
  </si>
  <si>
    <t>intVal#c.tImpl</t>
  </si>
  <si>
    <t>stepVal#c.tImpl</t>
  </si>
  <si>
    <t>intVal#stepVal</t>
  </si>
  <si>
    <t>1 1</t>
  </si>
  <si>
    <t>intVal#stepVal#c.tImpl</t>
  </si>
  <si>
    <t>. poisson deaths i.intVal tImpl i.stepVal i.intVal#c.tImpl i.stepVal#c.tImpl i.intVal#i.stepVal</t>
  </si>
  <si>
    <t>//</t>
  </si>
  <si>
    <t>&gt; /</t>
  </si>
  <si>
    <t>&gt;         i.intVal#i.stepVal#c.tImpl,offset(offS) irr</t>
  </si>
  <si>
    <t xml:space="preserve">Iteration 0:  Log likelihood = -2651.4672  </t>
  </si>
  <si>
    <t xml:space="preserve">Iteration 1:  Log likelihood = -1349.5351  </t>
  </si>
  <si>
    <t xml:space="preserve">Iteration 2:  Log likelihood = -1346.6434  </t>
  </si>
  <si>
    <t xml:space="preserve">Iteration 3:  Log likelihood =  -1346.643  </t>
  </si>
  <si>
    <t xml:space="preserve">Iteration 4:  Log likelihood =  -1346.643  </t>
  </si>
  <si>
    <t>Poisson regression                                    Number of obs =      210</t>
  </si>
  <si>
    <t>LR chi2(7)    = 16846.64</t>
  </si>
  <si>
    <t>Log likelihood = -1346.643                            Pseudo R2     =   0.8622</t>
  </si>
  <si>
    <t>LINCOMS</t>
  </si>
  <si>
    <t>Iteration 0:  Log likelihood</t>
  </si>
  <si>
    <t>=</t>
  </si>
  <si>
    <t xml:space="preserve"> </t>
  </si>
  <si>
    <t>Iteration 1:  Log likelihood</t>
  </si>
  <si>
    <t>Iteration 2:  Log likelihood</t>
  </si>
  <si>
    <t>Iteration 3:  Log likelihood</t>
  </si>
  <si>
    <t>Number of obs</t>
  </si>
  <si>
    <t>LR chi2(3)</t>
  </si>
  <si>
    <t>Prob &gt; chi2</t>
  </si>
  <si>
    <t>Log likelihood = -378.19474</t>
  </si>
  <si>
    <t>Pseudo R2</t>
  </si>
  <si>
    <t>Level change in non-intervention states</t>
  </si>
  <si>
    <t>Level change in Oregon</t>
  </si>
  <si>
    <t>Trend in control states before</t>
  </si>
  <si>
    <t>Intervention state before</t>
  </si>
  <si>
    <t xml:space="preserve"> lincom tImpl+1.intVal#c.tImpl,irr</t>
  </si>
  <si>
    <t>lincom tImpl,irr</t>
  </si>
  <si>
    <t>lincom 1.stepVal+1.stepVal#1.intVal,irr</t>
  </si>
  <si>
    <t>lincom 1.stepVal,irr</t>
  </si>
  <si>
    <t>Control states after</t>
  </si>
  <si>
    <t>lincom tImpl+1.stepVal#c.tImpl,irr</t>
  </si>
  <si>
    <t>Intervention state after</t>
  </si>
  <si>
    <t>lincom tImpl+1.intVal#c.tImpl+1.stepVal#c.tImpl+1.intVal#1.stepVal#c.tImpl,irr</t>
  </si>
  <si>
    <t>lincom</t>
  </si>
  <si>
    <t>lincom 1.tStep1#c.tVar1+tVar1,eform</t>
  </si>
  <si>
    <t>exp(b)</t>
  </si>
  <si>
    <t>RR</t>
  </si>
  <si>
    <t>lincom 1.tStep2#c.tVar2+tVar2,eform</t>
  </si>
  <si>
    <t>Lincom</t>
  </si>
  <si>
    <t>lincom 1.tStep3#c.tVar3+tVar3,eform</t>
  </si>
  <si>
    <t>lincom 1.tStep4#c.tVar4+tVar4,eform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</si>
</sst>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B93E-4B37-4E44-9A23-59AD847E07D8}">
  <dimension ref="A2:K42"/>
  <sheetViews>
    <sheetView tabSelected="1" topLeftCell="A2" workbookViewId="0">
      <selection activeCell="I17" sqref="I17"/>
    </sheetView>
  </sheetViews>
  <sheetFormatPr baseColWidth="10" defaultRowHeight="16" x14ac:dyDescent="0.2"/>
  <sheetData>
    <row r="2" spans="1:11" x14ac:dyDescent="0.2">
      <c r="A2" s="1"/>
    </row>
    <row r="7" spans="1:11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I7" t="s">
        <v>109</v>
      </c>
    </row>
    <row r="9" spans="1:11" x14ac:dyDescent="0.2">
      <c r="A9" t="s">
        <v>15</v>
      </c>
      <c r="B9">
        <v>1.4675999999999999E-3</v>
      </c>
      <c r="C9">
        <v>1.6283999999999999E-3</v>
      </c>
      <c r="D9">
        <v>0.9</v>
      </c>
      <c r="E9">
        <v>0.36699999999999999</v>
      </c>
      <c r="F9">
        <v>-1.7240000000000001E-3</v>
      </c>
      <c r="G9">
        <v>4.6591999999999996E-3</v>
      </c>
      <c r="I9">
        <f>EXP(B9)</f>
        <v>1.001468677451905</v>
      </c>
      <c r="J9">
        <f>EXP(F9)</f>
        <v>0.99827748523436266</v>
      </c>
      <c r="K9">
        <f>EXP(G9)</f>
        <v>1.0046700709490715</v>
      </c>
    </row>
    <row r="10" spans="1:11" x14ac:dyDescent="0.2">
      <c r="A10" t="s">
        <v>16</v>
      </c>
      <c r="B10">
        <v>0.25440049999999997</v>
      </c>
      <c r="C10">
        <v>6.9201700000000005E-2</v>
      </c>
      <c r="D10">
        <v>3.68</v>
      </c>
      <c r="E10">
        <v>0</v>
      </c>
      <c r="F10">
        <v>0.1187677</v>
      </c>
      <c r="G10">
        <v>0.39003330000000003</v>
      </c>
      <c r="I10">
        <f>EXP(B10)</f>
        <v>1.2896882209809575</v>
      </c>
      <c r="J10">
        <f>EXP(F10)</f>
        <v>1.1261082929452946</v>
      </c>
      <c r="K10">
        <f>EXP(G10)</f>
        <v>1.4770299781619927</v>
      </c>
    </row>
    <row r="12" spans="1:11" x14ac:dyDescent="0.2">
      <c r="A12" t="s">
        <v>17</v>
      </c>
    </row>
    <row r="13" spans="1:11" x14ac:dyDescent="0.2">
      <c r="A13">
        <v>1</v>
      </c>
      <c r="B13">
        <v>2.8576000000000001E-2</v>
      </c>
      <c r="C13">
        <v>2.1496000000000002E-3</v>
      </c>
      <c r="D13">
        <v>13.29</v>
      </c>
      <c r="E13">
        <v>0</v>
      </c>
      <c r="F13">
        <v>2.4362999999999999E-2</v>
      </c>
      <c r="G13">
        <v>3.2789100000000002E-2</v>
      </c>
      <c r="I13">
        <f>EXP(B13)</f>
        <v>1.0289882109669146</v>
      </c>
    </row>
    <row r="15" spans="1:11" x14ac:dyDescent="0.2">
      <c r="A15" t="s">
        <v>18</v>
      </c>
      <c r="B15">
        <v>-12.098549999999999</v>
      </c>
      <c r="C15">
        <v>5.2381799999999999E-2</v>
      </c>
      <c r="D15">
        <v>-230.97</v>
      </c>
      <c r="E15">
        <v>0</v>
      </c>
      <c r="F15">
        <v>-12.201219999999999</v>
      </c>
      <c r="G15">
        <v>-11.995889999999999</v>
      </c>
    </row>
    <row r="16" spans="1:11" x14ac:dyDescent="0.2">
      <c r="A16" t="s">
        <v>19</v>
      </c>
      <c r="B16">
        <v>1</v>
      </c>
      <c r="C16" t="s">
        <v>20</v>
      </c>
    </row>
    <row r="22" spans="1:1" x14ac:dyDescent="0.2">
      <c r="A22" t="s">
        <v>0</v>
      </c>
    </row>
    <row r="24" spans="1:1" x14ac:dyDescent="0.2">
      <c r="A24" t="s">
        <v>1</v>
      </c>
    </row>
    <row r="25" spans="1:1" x14ac:dyDescent="0.2">
      <c r="A25" t="s">
        <v>2</v>
      </c>
    </row>
    <row r="26" spans="1:1" x14ac:dyDescent="0.2">
      <c r="A26" t="s">
        <v>3</v>
      </c>
    </row>
    <row r="27" spans="1:1" x14ac:dyDescent="0.2">
      <c r="A27" t="s">
        <v>4</v>
      </c>
    </row>
    <row r="29" spans="1:1" x14ac:dyDescent="0.2">
      <c r="A29" t="s">
        <v>5</v>
      </c>
    </row>
    <row r="30" spans="1:1" x14ac:dyDescent="0.2">
      <c r="A30" t="s">
        <v>21</v>
      </c>
    </row>
    <row r="31" spans="1:1" x14ac:dyDescent="0.2">
      <c r="A31" t="s">
        <v>22</v>
      </c>
    </row>
    <row r="32" spans="1:1" x14ac:dyDescent="0.2">
      <c r="A32" t="s">
        <v>7</v>
      </c>
    </row>
    <row r="36" spans="1:7" x14ac:dyDescent="0.2">
      <c r="A36" t="s">
        <v>106</v>
      </c>
    </row>
    <row r="37" spans="1:7" x14ac:dyDescent="0.2">
      <c r="A37" t="s">
        <v>107</v>
      </c>
    </row>
    <row r="40" spans="1:7" x14ac:dyDescent="0.2">
      <c r="A40" t="s">
        <v>8</v>
      </c>
      <c r="B40" t="s">
        <v>108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</row>
    <row r="42" spans="1:7" x14ac:dyDescent="0.2">
      <c r="A42">
        <v>-1</v>
      </c>
      <c r="B42">
        <v>1.0304990000000001</v>
      </c>
      <c r="C42">
        <v>1.446E-3</v>
      </c>
      <c r="D42">
        <v>21.41</v>
      </c>
      <c r="E42">
        <v>0</v>
      </c>
      <c r="F42">
        <v>1.0276689999999999</v>
      </c>
      <c r="G42">
        <v>1.0333380000000001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8E4A-5F4A-704F-99F9-813FC6D6B8EB}">
  <dimension ref="A5:K35"/>
  <sheetViews>
    <sheetView workbookViewId="0">
      <selection activeCell="I5" sqref="I5:K8"/>
    </sheetView>
  </sheetViews>
  <sheetFormatPr baseColWidth="10" defaultRowHeight="16" x14ac:dyDescent="0.2"/>
  <cols>
    <col min="1" max="1" width="38.83203125" customWidth="1"/>
  </cols>
  <sheetData>
    <row r="5" spans="1:11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I5" t="s">
        <v>109</v>
      </c>
    </row>
    <row r="7" spans="1:11" x14ac:dyDescent="0.2">
      <c r="A7" t="s">
        <v>26</v>
      </c>
      <c r="B7">
        <v>1.2729499999999999E-2</v>
      </c>
      <c r="C7">
        <v>5.4169999999999999E-4</v>
      </c>
      <c r="D7">
        <v>23.5</v>
      </c>
      <c r="E7">
        <v>0</v>
      </c>
      <c r="F7">
        <v>1.16677E-2</v>
      </c>
      <c r="G7">
        <v>1.3791299999999999E-2</v>
      </c>
      <c r="I7">
        <f>EXP(B7)</f>
        <v>1.0128108649636831</v>
      </c>
      <c r="J7">
        <f>EXP(F7)</f>
        <v>1.0117360331164746</v>
      </c>
      <c r="K7">
        <f>EXP(G7)</f>
        <v>1.0138868386734547</v>
      </c>
    </row>
    <row r="8" spans="1:11" x14ac:dyDescent="0.2">
      <c r="A8" t="s">
        <v>27</v>
      </c>
      <c r="B8">
        <v>0.6169173</v>
      </c>
      <c r="C8">
        <v>2.1865800000000001E-2</v>
      </c>
      <c r="D8">
        <v>28.21</v>
      </c>
      <c r="E8">
        <v>0</v>
      </c>
      <c r="F8">
        <v>0.57406109999999999</v>
      </c>
      <c r="G8">
        <v>0.65977359999999996</v>
      </c>
      <c r="I8">
        <f>EXP(B8)</f>
        <v>1.8532063480356202</v>
      </c>
      <c r="J8">
        <f>EXP(F8)</f>
        <v>1.7754627621170185</v>
      </c>
      <c r="K8">
        <f>EXP(G8)</f>
        <v>1.9343543469995677</v>
      </c>
    </row>
    <row r="10" spans="1:11" x14ac:dyDescent="0.2">
      <c r="A10" t="s">
        <v>28</v>
      </c>
    </row>
    <row r="11" spans="1:11" x14ac:dyDescent="0.2">
      <c r="A11">
        <v>1</v>
      </c>
      <c r="B11">
        <v>-3.7634000000000001E-3</v>
      </c>
      <c r="C11">
        <v>7.4750000000000001E-4</v>
      </c>
      <c r="D11">
        <v>-5.03</v>
      </c>
      <c r="E11">
        <v>0</v>
      </c>
      <c r="F11">
        <v>-5.2284000000000002E-3</v>
      </c>
      <c r="G11">
        <v>-2.2983000000000001E-3</v>
      </c>
    </row>
    <row r="13" spans="1:11" x14ac:dyDescent="0.2">
      <c r="A13" t="s">
        <v>18</v>
      </c>
      <c r="B13">
        <v>-11.96148</v>
      </c>
      <c r="C13">
        <v>1.6745699999999999E-2</v>
      </c>
      <c r="D13">
        <v>-714.3</v>
      </c>
      <c r="E13">
        <v>0</v>
      </c>
      <c r="F13">
        <v>-11.994300000000001</v>
      </c>
      <c r="G13">
        <v>-11.928660000000001</v>
      </c>
    </row>
    <row r="14" spans="1:11" x14ac:dyDescent="0.2">
      <c r="A14" t="s">
        <v>19</v>
      </c>
      <c r="B14">
        <v>1</v>
      </c>
      <c r="C14" t="s">
        <v>20</v>
      </c>
    </row>
    <row r="18" spans="1:2" x14ac:dyDescent="0.2">
      <c r="A18" t="s">
        <v>29</v>
      </c>
      <c r="B18" t="s">
        <v>30</v>
      </c>
    </row>
    <row r="20" spans="1:2" x14ac:dyDescent="0.2">
      <c r="A20" t="s">
        <v>31</v>
      </c>
      <c r="B20">
        <v>-592.13332000000003</v>
      </c>
    </row>
    <row r="21" spans="1:2" x14ac:dyDescent="0.2">
      <c r="A21" t="s">
        <v>32</v>
      </c>
      <c r="B21">
        <v>-591.83284000000003</v>
      </c>
    </row>
    <row r="22" spans="1:2" x14ac:dyDescent="0.2">
      <c r="A22" t="s">
        <v>33</v>
      </c>
      <c r="B22">
        <v>-591.83284000000003</v>
      </c>
    </row>
    <row r="24" spans="1:2" x14ac:dyDescent="0.2">
      <c r="A24" t="s">
        <v>34</v>
      </c>
      <c r="B24" t="s">
        <v>35</v>
      </c>
    </row>
    <row r="25" spans="1:2" x14ac:dyDescent="0.2">
      <c r="B25" t="s">
        <v>36</v>
      </c>
    </row>
    <row r="26" spans="1:2" x14ac:dyDescent="0.2">
      <c r="B26" t="s">
        <v>37</v>
      </c>
    </row>
    <row r="27" spans="1:2" x14ac:dyDescent="0.2">
      <c r="A27" t="s">
        <v>38</v>
      </c>
      <c r="B27" t="s">
        <v>39</v>
      </c>
    </row>
    <row r="29" spans="1:2" x14ac:dyDescent="0.2">
      <c r="A29" t="s">
        <v>110</v>
      </c>
    </row>
    <row r="33" spans="1:7" x14ac:dyDescent="0.2">
      <c r="A33" t="s">
        <v>8</v>
      </c>
      <c r="B33" t="s">
        <v>108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</row>
    <row r="35" spans="1:7" x14ac:dyDescent="0.2">
      <c r="A35">
        <v>-1</v>
      </c>
      <c r="B35">
        <v>1.0090060000000001</v>
      </c>
      <c r="C35">
        <v>5.197E-4</v>
      </c>
      <c r="D35">
        <v>17.41</v>
      </c>
      <c r="E35">
        <v>0</v>
      </c>
      <c r="F35">
        <v>1.0079880000000001</v>
      </c>
      <c r="G35">
        <v>1.010025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36B6-C33E-8E4B-8009-15862B4FF62B}">
  <dimension ref="A8:K39"/>
  <sheetViews>
    <sheetView workbookViewId="0">
      <selection activeCell="I8" sqref="I8:K11"/>
    </sheetView>
  </sheetViews>
  <sheetFormatPr baseColWidth="10" defaultRowHeight="16" x14ac:dyDescent="0.2"/>
  <cols>
    <col min="1" max="1" width="31.6640625" customWidth="1"/>
  </cols>
  <sheetData>
    <row r="8" spans="1:11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I8" t="s">
        <v>109</v>
      </c>
    </row>
    <row r="10" spans="1:11" x14ac:dyDescent="0.2">
      <c r="A10" t="s">
        <v>26</v>
      </c>
      <c r="B10">
        <v>3.6697000000000001E-3</v>
      </c>
      <c r="C10">
        <v>9.6330000000000005E-4</v>
      </c>
      <c r="D10">
        <v>3.81</v>
      </c>
      <c r="E10">
        <v>0</v>
      </c>
      <c r="F10">
        <v>1.7818000000000001E-3</v>
      </c>
      <c r="G10">
        <v>5.5576999999999996E-3</v>
      </c>
      <c r="I10">
        <f>EXP(B10)</f>
        <v>1.0036764415930639</v>
      </c>
      <c r="J10">
        <f>EXP(F10)</f>
        <v>1.0017833883488532</v>
      </c>
      <c r="K10">
        <f>EXP(G10)</f>
        <v>1.0055731726655088</v>
      </c>
    </row>
    <row r="11" spans="1:11" x14ac:dyDescent="0.2">
      <c r="A11" t="s">
        <v>27</v>
      </c>
      <c r="B11">
        <v>0.29608060000000003</v>
      </c>
      <c r="C11">
        <v>4.3654499999999999E-2</v>
      </c>
      <c r="D11">
        <v>6.78</v>
      </c>
      <c r="E11">
        <v>0</v>
      </c>
      <c r="F11">
        <v>0.2105194</v>
      </c>
      <c r="G11">
        <v>0.38164179999999998</v>
      </c>
      <c r="I11">
        <f>EXP(B11)</f>
        <v>1.3445785254938918</v>
      </c>
      <c r="J11">
        <f>EXP(F11)</f>
        <v>1.2343189987784875</v>
      </c>
      <c r="K11">
        <f>EXP(G11)</f>
        <v>1.4646873401515021</v>
      </c>
    </row>
    <row r="13" spans="1:11" x14ac:dyDescent="0.2">
      <c r="A13" t="s">
        <v>28</v>
      </c>
    </row>
    <row r="14" spans="1:11" x14ac:dyDescent="0.2">
      <c r="A14">
        <v>1</v>
      </c>
      <c r="B14">
        <v>2.0139500000000001E-2</v>
      </c>
      <c r="C14">
        <v>1.4009999999999999E-3</v>
      </c>
      <c r="D14">
        <v>14.37</v>
      </c>
      <c r="E14">
        <v>0</v>
      </c>
      <c r="F14">
        <v>1.7393599999999999E-2</v>
      </c>
      <c r="G14">
        <v>2.28855E-2</v>
      </c>
    </row>
    <row r="16" spans="1:11" x14ac:dyDescent="0.2">
      <c r="A16" t="s">
        <v>18</v>
      </c>
      <c r="B16">
        <v>-11.714309999999999</v>
      </c>
      <c r="C16">
        <v>3.1930500000000001E-2</v>
      </c>
      <c r="D16">
        <v>-366.87</v>
      </c>
      <c r="E16">
        <v>0</v>
      </c>
      <c r="F16">
        <v>-11.77689</v>
      </c>
      <c r="G16">
        <v>-11.651730000000001</v>
      </c>
    </row>
    <row r="17" spans="1:3" x14ac:dyDescent="0.2">
      <c r="A17" t="s">
        <v>19</v>
      </c>
      <c r="B17">
        <v>1</v>
      </c>
      <c r="C17" t="s">
        <v>20</v>
      </c>
    </row>
    <row r="21" spans="1:3" x14ac:dyDescent="0.2">
      <c r="A21" t="s">
        <v>29</v>
      </c>
      <c r="B21" t="s">
        <v>40</v>
      </c>
    </row>
    <row r="23" spans="1:3" x14ac:dyDescent="0.2">
      <c r="A23" t="s">
        <v>31</v>
      </c>
      <c r="B23">
        <v>-424.70155</v>
      </c>
    </row>
    <row r="24" spans="1:3" x14ac:dyDescent="0.2">
      <c r="A24" t="s">
        <v>32</v>
      </c>
      <c r="B24">
        <v>-423.93529999999998</v>
      </c>
    </row>
    <row r="25" spans="1:3" x14ac:dyDescent="0.2">
      <c r="A25" t="s">
        <v>33</v>
      </c>
      <c r="B25">
        <v>-423.93526000000003</v>
      </c>
    </row>
    <row r="27" spans="1:3" x14ac:dyDescent="0.2">
      <c r="A27" t="s">
        <v>34</v>
      </c>
      <c r="B27" t="s">
        <v>41</v>
      </c>
    </row>
    <row r="28" spans="1:3" x14ac:dyDescent="0.2">
      <c r="B28" t="s">
        <v>42</v>
      </c>
    </row>
    <row r="29" spans="1:3" x14ac:dyDescent="0.2">
      <c r="B29" t="s">
        <v>6</v>
      </c>
    </row>
    <row r="30" spans="1:3" x14ac:dyDescent="0.2">
      <c r="A30" t="s">
        <v>43</v>
      </c>
      <c r="B30" t="s">
        <v>44</v>
      </c>
    </row>
    <row r="33" spans="1:7" x14ac:dyDescent="0.2">
      <c r="A33" t="s">
        <v>111</v>
      </c>
    </row>
    <row r="34" spans="1:7" x14ac:dyDescent="0.2">
      <c r="A34" t="s">
        <v>110</v>
      </c>
    </row>
    <row r="37" spans="1:7" x14ac:dyDescent="0.2">
      <c r="A37" t="s">
        <v>8</v>
      </c>
      <c r="B37" t="s">
        <v>108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</row>
    <row r="39" spans="1:7" x14ac:dyDescent="0.2">
      <c r="A39">
        <v>-1</v>
      </c>
      <c r="B39">
        <v>1.024095</v>
      </c>
      <c r="C39">
        <v>1.0418000000000001E-3</v>
      </c>
      <c r="D39">
        <v>23.4</v>
      </c>
      <c r="E39">
        <v>0</v>
      </c>
      <c r="F39">
        <v>1.0220549999999999</v>
      </c>
      <c r="G39">
        <v>1.0261389999999999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7226-2EC6-0640-B0DE-949587A84862}">
  <dimension ref="A5:K36"/>
  <sheetViews>
    <sheetView topLeftCell="A3" workbookViewId="0">
      <selection activeCell="I5" sqref="I5:K8"/>
    </sheetView>
  </sheetViews>
  <sheetFormatPr baseColWidth="10" defaultRowHeight="16" x14ac:dyDescent="0.2"/>
  <cols>
    <col min="1" max="1" width="23.6640625" customWidth="1"/>
  </cols>
  <sheetData>
    <row r="5" spans="1:11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I5" t="s">
        <v>109</v>
      </c>
    </row>
    <row r="7" spans="1:11" x14ac:dyDescent="0.2">
      <c r="A7" t="s">
        <v>23</v>
      </c>
      <c r="B7">
        <v>-1.5215999999999999E-3</v>
      </c>
      <c r="C7">
        <v>1.3418E-3</v>
      </c>
      <c r="D7">
        <v>-1.1299999999999999</v>
      </c>
      <c r="E7">
        <v>0.25700000000000001</v>
      </c>
      <c r="F7">
        <v>-4.1514999999999998E-3</v>
      </c>
      <c r="G7">
        <v>1.1083E-3</v>
      </c>
      <c r="I7">
        <f>EXP(B7)</f>
        <v>0.99847955704635172</v>
      </c>
      <c r="J7">
        <f>EXP(F7)</f>
        <v>0.99585710556334084</v>
      </c>
      <c r="K7">
        <f>EXP(G7)</f>
        <v>1.0011089143914007</v>
      </c>
    </row>
    <row r="8" spans="1:11" x14ac:dyDescent="0.2">
      <c r="A8" t="s">
        <v>24</v>
      </c>
      <c r="B8">
        <v>0.46413070000000001</v>
      </c>
      <c r="C8">
        <v>6.7029400000000003E-2</v>
      </c>
      <c r="D8">
        <v>6.92</v>
      </c>
      <c r="E8">
        <v>0</v>
      </c>
      <c r="F8">
        <v>0.33275539999999998</v>
      </c>
      <c r="G8">
        <v>0.59550599999999998</v>
      </c>
      <c r="I8">
        <f>EXP(B8)</f>
        <v>1.5906308523070598</v>
      </c>
      <c r="J8">
        <f>EXP(F8)</f>
        <v>1.3948060871724408</v>
      </c>
      <c r="K8">
        <f>EXP(G8)</f>
        <v>1.8139485707580545</v>
      </c>
    </row>
    <row r="10" spans="1:11" x14ac:dyDescent="0.2">
      <c r="A10" t="s">
        <v>25</v>
      </c>
    </row>
    <row r="11" spans="1:11" x14ac:dyDescent="0.2">
      <c r="A11">
        <v>1</v>
      </c>
      <c r="B11">
        <v>8.8143000000000006E-3</v>
      </c>
      <c r="C11">
        <v>2.2409999999999999E-3</v>
      </c>
      <c r="D11">
        <v>3.93</v>
      </c>
      <c r="E11">
        <v>0</v>
      </c>
      <c r="F11">
        <v>4.4219999999999997E-3</v>
      </c>
      <c r="G11">
        <v>1.3206499999999999E-2</v>
      </c>
    </row>
    <row r="13" spans="1:11" x14ac:dyDescent="0.2">
      <c r="A13" t="s">
        <v>18</v>
      </c>
      <c r="B13">
        <v>-11.67469</v>
      </c>
      <c r="C13">
        <v>4.7152199999999998E-2</v>
      </c>
      <c r="D13">
        <v>-247.6</v>
      </c>
      <c r="E13">
        <v>0</v>
      </c>
      <c r="F13">
        <v>-11.767099999999999</v>
      </c>
      <c r="G13">
        <v>-11.582269999999999</v>
      </c>
    </row>
    <row r="14" spans="1:11" x14ac:dyDescent="0.2">
      <c r="A14" t="s">
        <v>19</v>
      </c>
      <c r="B14">
        <v>1</v>
      </c>
      <c r="C14" t="s">
        <v>20</v>
      </c>
    </row>
    <row r="18" spans="1:2" x14ac:dyDescent="0.2">
      <c r="A18" t="s">
        <v>45</v>
      </c>
      <c r="B18" t="s">
        <v>46</v>
      </c>
    </row>
    <row r="20" spans="1:2" x14ac:dyDescent="0.2">
      <c r="A20" t="s">
        <v>31</v>
      </c>
      <c r="B20">
        <v>-357.29633000000001</v>
      </c>
    </row>
    <row r="21" spans="1:2" x14ac:dyDescent="0.2">
      <c r="A21" t="s">
        <v>32</v>
      </c>
      <c r="B21">
        <v>-357.29561000000001</v>
      </c>
    </row>
    <row r="22" spans="1:2" x14ac:dyDescent="0.2">
      <c r="A22" t="s">
        <v>33</v>
      </c>
      <c r="B22">
        <v>-357.29561000000001</v>
      </c>
    </row>
    <row r="24" spans="1:2" x14ac:dyDescent="0.2">
      <c r="A24" t="s">
        <v>34</v>
      </c>
      <c r="B24" t="s">
        <v>47</v>
      </c>
    </row>
    <row r="25" spans="1:2" x14ac:dyDescent="0.2">
      <c r="B25" t="s">
        <v>48</v>
      </c>
    </row>
    <row r="26" spans="1:2" x14ac:dyDescent="0.2">
      <c r="B26" t="s">
        <v>49</v>
      </c>
    </row>
    <row r="27" spans="1:2" x14ac:dyDescent="0.2">
      <c r="A27" t="s">
        <v>50</v>
      </c>
      <c r="B27" t="s">
        <v>51</v>
      </c>
    </row>
    <row r="30" spans="1:2" x14ac:dyDescent="0.2">
      <c r="A30" t="s">
        <v>106</v>
      </c>
    </row>
    <row r="31" spans="1:2" x14ac:dyDescent="0.2">
      <c r="A31" t="s">
        <v>112</v>
      </c>
    </row>
    <row r="34" spans="1:7" x14ac:dyDescent="0.2">
      <c r="A34" t="s">
        <v>8</v>
      </c>
      <c r="B34" t="s">
        <v>108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</row>
    <row r="36" spans="1:7" x14ac:dyDescent="0.2">
      <c r="A36">
        <v>-1</v>
      </c>
      <c r="B36">
        <v>1.0073190000000001</v>
      </c>
      <c r="C36">
        <v>1.8079999999999999E-3</v>
      </c>
      <c r="D36">
        <v>4.0599999999999996</v>
      </c>
      <c r="E36">
        <v>0</v>
      </c>
      <c r="F36">
        <v>1.003782</v>
      </c>
      <c r="G36">
        <v>1.010869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0251-2ECC-AF4A-9999-BFE5F4D880A3}">
  <dimension ref="A6:K37"/>
  <sheetViews>
    <sheetView topLeftCell="A9" workbookViewId="0">
      <selection activeCell="A34" sqref="A34:G39"/>
    </sheetView>
  </sheetViews>
  <sheetFormatPr baseColWidth="10" defaultRowHeight="16" x14ac:dyDescent="0.2"/>
  <cols>
    <col min="1" max="1" width="29.33203125" customWidth="1"/>
  </cols>
  <sheetData>
    <row r="6" spans="1:11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I6" t="s">
        <v>109</v>
      </c>
    </row>
    <row r="8" spans="1:11" x14ac:dyDescent="0.2">
      <c r="A8" t="s">
        <v>52</v>
      </c>
      <c r="B8">
        <v>-8.4599999999999996E-4</v>
      </c>
      <c r="C8">
        <v>3.5354000000000002E-3</v>
      </c>
      <c r="D8">
        <v>-0.24</v>
      </c>
      <c r="E8">
        <v>0.81100000000000005</v>
      </c>
      <c r="F8">
        <v>-7.7752999999999997E-3</v>
      </c>
      <c r="G8">
        <v>6.0834000000000001E-3</v>
      </c>
      <c r="I8">
        <f>EXP(B8)</f>
        <v>0.99915435775710537</v>
      </c>
      <c r="J8">
        <f>EXP(F8)</f>
        <v>0.9922548494540907</v>
      </c>
      <c r="K8">
        <f>EXP(G8)</f>
        <v>1.0061019414570784</v>
      </c>
    </row>
    <row r="9" spans="1:11" x14ac:dyDescent="0.2">
      <c r="A9" t="s">
        <v>53</v>
      </c>
      <c r="B9">
        <v>0.46958630000000001</v>
      </c>
      <c r="C9">
        <v>0.1230033</v>
      </c>
      <c r="D9">
        <v>3.82</v>
      </c>
      <c r="E9">
        <v>0</v>
      </c>
      <c r="F9">
        <v>0.22850419999999999</v>
      </c>
      <c r="G9">
        <v>0.71066830000000003</v>
      </c>
      <c r="I9">
        <f>EXP(B9)</f>
        <v>1.5993324125184023</v>
      </c>
      <c r="J9">
        <f>EXP(F9)</f>
        <v>1.2567188033397876</v>
      </c>
      <c r="K9">
        <f>EXP(G9)</f>
        <v>2.0353510293216663</v>
      </c>
    </row>
    <row r="11" spans="1:11" x14ac:dyDescent="0.2">
      <c r="A11" t="s">
        <v>54</v>
      </c>
    </row>
    <row r="12" spans="1:11" x14ac:dyDescent="0.2">
      <c r="A12">
        <v>1</v>
      </c>
      <c r="B12">
        <v>7.0089999999999996E-4</v>
      </c>
      <c r="C12">
        <v>5.8336999999999998E-3</v>
      </c>
      <c r="D12">
        <v>0.12</v>
      </c>
      <c r="E12">
        <v>0.90400000000000003</v>
      </c>
      <c r="F12">
        <v>-1.07329E-2</v>
      </c>
      <c r="G12">
        <v>1.21347E-2</v>
      </c>
    </row>
    <row r="14" spans="1:11" x14ac:dyDescent="0.2">
      <c r="A14" t="s">
        <v>18</v>
      </c>
      <c r="B14">
        <v>-11.90723</v>
      </c>
      <c r="C14">
        <v>8.7311200000000005E-2</v>
      </c>
      <c r="D14">
        <v>-136.38</v>
      </c>
      <c r="E14">
        <v>0</v>
      </c>
      <c r="F14">
        <v>-12.07836</v>
      </c>
      <c r="G14">
        <v>-11.7361</v>
      </c>
    </row>
    <row r="15" spans="1:11" x14ac:dyDescent="0.2">
      <c r="A15" t="s">
        <v>19</v>
      </c>
      <c r="B15">
        <v>1</v>
      </c>
      <c r="C15" t="s">
        <v>20</v>
      </c>
    </row>
    <row r="20" spans="1:2" x14ac:dyDescent="0.2">
      <c r="A20" t="s">
        <v>55</v>
      </c>
      <c r="B20" t="s">
        <v>56</v>
      </c>
    </row>
    <row r="22" spans="1:2" x14ac:dyDescent="0.2">
      <c r="A22" t="s">
        <v>31</v>
      </c>
      <c r="B22">
        <v>-150.11482000000001</v>
      </c>
    </row>
    <row r="23" spans="1:2" x14ac:dyDescent="0.2">
      <c r="A23" t="s">
        <v>32</v>
      </c>
      <c r="B23">
        <v>-150.11482000000001</v>
      </c>
    </row>
    <row r="25" spans="1:2" x14ac:dyDescent="0.2">
      <c r="A25" t="s">
        <v>34</v>
      </c>
      <c r="B25" t="s">
        <v>57</v>
      </c>
    </row>
    <row r="26" spans="1:2" x14ac:dyDescent="0.2">
      <c r="B26" t="s">
        <v>58</v>
      </c>
    </row>
    <row r="27" spans="1:2" x14ac:dyDescent="0.2">
      <c r="B27" t="s">
        <v>49</v>
      </c>
    </row>
    <row r="28" spans="1:2" x14ac:dyDescent="0.2">
      <c r="A28" t="s">
        <v>59</v>
      </c>
      <c r="B28" t="s">
        <v>60</v>
      </c>
    </row>
    <row r="31" spans="1:2" x14ac:dyDescent="0.2">
      <c r="A31" t="s">
        <v>106</v>
      </c>
    </row>
    <row r="32" spans="1:2" x14ac:dyDescent="0.2">
      <c r="A32" t="s">
        <v>113</v>
      </c>
    </row>
    <row r="35" spans="1:7" x14ac:dyDescent="0.2">
      <c r="A35" t="s">
        <v>8</v>
      </c>
      <c r="B35" t="s">
        <v>108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</row>
    <row r="37" spans="1:7" x14ac:dyDescent="0.2">
      <c r="A37">
        <v>-1</v>
      </c>
      <c r="B37">
        <v>0.99985500000000005</v>
      </c>
      <c r="C37">
        <v>4.6395999999999998E-3</v>
      </c>
      <c r="D37">
        <v>-0.03</v>
      </c>
      <c r="E37">
        <v>0.97499999999999998</v>
      </c>
      <c r="F37">
        <v>0.99080259999999998</v>
      </c>
      <c r="G37">
        <v>1.0089900000000001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F8A6-E450-9641-9280-6063A1418005}">
  <dimension ref="A4:G24"/>
  <sheetViews>
    <sheetView workbookViewId="0">
      <selection activeCell="I17" sqref="I17"/>
    </sheetView>
  </sheetViews>
  <sheetFormatPr baseColWidth="10" defaultRowHeight="16" x14ac:dyDescent="0.2"/>
  <cols>
    <col min="1" max="1" width="37" customWidth="1"/>
  </cols>
  <sheetData>
    <row r="4" spans="1:7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6" spans="1:7" x14ac:dyDescent="0.2">
      <c r="A6" t="s">
        <v>63</v>
      </c>
      <c r="B6">
        <v>9.2049000000000002E-3</v>
      </c>
      <c r="C6">
        <v>1.1199999999999999E-3</v>
      </c>
      <c r="D6">
        <v>8.2200000000000006</v>
      </c>
      <c r="E6">
        <v>0</v>
      </c>
      <c r="F6">
        <v>7.0098000000000001E-3</v>
      </c>
      <c r="G6">
        <v>1.14001E-2</v>
      </c>
    </row>
    <row r="7" spans="1:7" x14ac:dyDescent="0.2">
      <c r="A7" t="s">
        <v>64</v>
      </c>
      <c r="B7">
        <v>0.34988409999999998</v>
      </c>
      <c r="C7">
        <v>6.1294099999999997E-2</v>
      </c>
      <c r="D7">
        <v>5.71</v>
      </c>
      <c r="E7">
        <v>0</v>
      </c>
      <c r="F7">
        <v>0.2297498</v>
      </c>
      <c r="G7">
        <v>0.4700183</v>
      </c>
    </row>
    <row r="9" spans="1:7" x14ac:dyDescent="0.2">
      <c r="A9" t="s">
        <v>66</v>
      </c>
    </row>
    <row r="10" spans="1:7" x14ac:dyDescent="0.2">
      <c r="A10">
        <v>1</v>
      </c>
      <c r="B10">
        <v>1.9684400000000001E-2</v>
      </c>
      <c r="C10">
        <v>2.4345E-3</v>
      </c>
      <c r="D10">
        <v>8.09</v>
      </c>
      <c r="E10">
        <v>0</v>
      </c>
      <c r="F10">
        <v>1.4912999999999999E-2</v>
      </c>
      <c r="G10">
        <v>2.44558E-2</v>
      </c>
    </row>
    <row r="12" spans="1:7" x14ac:dyDescent="0.2">
      <c r="A12" t="s">
        <v>18</v>
      </c>
      <c r="B12">
        <v>-11.689019999999999</v>
      </c>
      <c r="C12">
        <v>4.3289399999999999E-2</v>
      </c>
      <c r="D12">
        <v>-270.02</v>
      </c>
      <c r="E12">
        <v>0</v>
      </c>
      <c r="F12">
        <v>-11.773860000000001</v>
      </c>
      <c r="G12">
        <v>-11.60417</v>
      </c>
    </row>
    <row r="13" spans="1:7" x14ac:dyDescent="0.2">
      <c r="A13" t="s">
        <v>19</v>
      </c>
      <c r="B13">
        <v>1</v>
      </c>
      <c r="C13" t="s">
        <v>20</v>
      </c>
    </row>
    <row r="16" spans="1:7" x14ac:dyDescent="0.2">
      <c r="A16" t="s">
        <v>83</v>
      </c>
      <c r="B16" t="s">
        <v>84</v>
      </c>
      <c r="C16">
        <v>-379.99392</v>
      </c>
      <c r="D16" t="s">
        <v>85</v>
      </c>
    </row>
    <row r="17" spans="1:6" x14ac:dyDescent="0.2">
      <c r="A17" t="s">
        <v>86</v>
      </c>
      <c r="B17" t="s">
        <v>84</v>
      </c>
      <c r="C17">
        <v>-378.19526000000002</v>
      </c>
      <c r="D17" t="s">
        <v>85</v>
      </c>
    </row>
    <row r="18" spans="1:6" x14ac:dyDescent="0.2">
      <c r="A18" t="s">
        <v>87</v>
      </c>
      <c r="B18" t="s">
        <v>84</v>
      </c>
      <c r="C18">
        <v>-378.19474000000002</v>
      </c>
      <c r="D18" t="s">
        <v>85</v>
      </c>
    </row>
    <row r="19" spans="1:6" x14ac:dyDescent="0.2">
      <c r="A19" t="s">
        <v>88</v>
      </c>
      <c r="B19" t="s">
        <v>84</v>
      </c>
      <c r="C19">
        <v>-378.19474000000002</v>
      </c>
      <c r="D19" t="s">
        <v>85</v>
      </c>
    </row>
    <row r="21" spans="1:6" x14ac:dyDescent="0.2">
      <c r="A21" t="s">
        <v>34</v>
      </c>
      <c r="D21" t="s">
        <v>89</v>
      </c>
      <c r="E21" t="s">
        <v>84</v>
      </c>
      <c r="F21">
        <v>105</v>
      </c>
    </row>
    <row r="22" spans="1:6" x14ac:dyDescent="0.2">
      <c r="D22" t="s">
        <v>90</v>
      </c>
      <c r="E22" t="s">
        <v>84</v>
      </c>
      <c r="F22">
        <v>1704.57</v>
      </c>
    </row>
    <row r="23" spans="1:6" x14ac:dyDescent="0.2">
      <c r="D23" t="s">
        <v>91</v>
      </c>
      <c r="E23" t="s">
        <v>84</v>
      </c>
      <c r="F23">
        <v>0</v>
      </c>
    </row>
    <row r="24" spans="1:6" x14ac:dyDescent="0.2">
      <c r="A24" t="s">
        <v>92</v>
      </c>
      <c r="D24" t="s">
        <v>93</v>
      </c>
      <c r="E24" t="s">
        <v>84</v>
      </c>
      <c r="F24">
        <v>0.69259999999999999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90BD-55CA-E04F-80B0-EAFB55AB1D44}">
  <dimension ref="A3:L82"/>
  <sheetViews>
    <sheetView topLeftCell="A46" workbookViewId="0">
      <selection activeCell="M61" sqref="M61"/>
    </sheetView>
  </sheetViews>
  <sheetFormatPr baseColWidth="10" defaultRowHeight="16" x14ac:dyDescent="0.2"/>
  <sheetData>
    <row r="3" spans="1:12" x14ac:dyDescent="0.2">
      <c r="K3" t="s">
        <v>70</v>
      </c>
      <c r="L3" t="s">
        <v>71</v>
      </c>
    </row>
    <row r="4" spans="1:12" x14ac:dyDescent="0.2">
      <c r="K4" t="s">
        <v>72</v>
      </c>
    </row>
    <row r="5" spans="1:12" x14ac:dyDescent="0.2">
      <c r="A5" t="s">
        <v>8</v>
      </c>
      <c r="B5" t="s">
        <v>61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K5" t="s">
        <v>73</v>
      </c>
    </row>
    <row r="7" spans="1:12" x14ac:dyDescent="0.2">
      <c r="A7" t="s">
        <v>62</v>
      </c>
      <c r="B7">
        <v>0.75915690000000002</v>
      </c>
      <c r="C7">
        <v>3.4013500000000002E-2</v>
      </c>
      <c r="D7">
        <v>-6.15</v>
      </c>
      <c r="E7">
        <v>0</v>
      </c>
      <c r="F7">
        <v>0.69533500000000004</v>
      </c>
      <c r="G7">
        <v>0.82883680000000004</v>
      </c>
      <c r="K7" t="s">
        <v>74</v>
      </c>
    </row>
    <row r="8" spans="1:12" x14ac:dyDescent="0.2">
      <c r="A8" t="s">
        <v>63</v>
      </c>
      <c r="B8">
        <v>1.0178830000000001</v>
      </c>
      <c r="C8">
        <v>3.3129999999999998E-4</v>
      </c>
      <c r="D8">
        <v>54.46</v>
      </c>
      <c r="E8">
        <v>0</v>
      </c>
      <c r="F8">
        <v>1.017234</v>
      </c>
      <c r="G8">
        <v>1.0185329999999999</v>
      </c>
      <c r="K8" t="s">
        <v>75</v>
      </c>
    </row>
    <row r="9" spans="1:12" x14ac:dyDescent="0.2">
      <c r="A9" t="s">
        <v>64</v>
      </c>
      <c r="B9">
        <v>1.2651209999999999</v>
      </c>
      <c r="C9">
        <v>2.13898E-2</v>
      </c>
      <c r="D9">
        <v>13.91</v>
      </c>
      <c r="E9">
        <v>0</v>
      </c>
      <c r="F9">
        <v>1.2238849999999999</v>
      </c>
      <c r="G9">
        <v>1.307747</v>
      </c>
      <c r="K9" t="s">
        <v>76</v>
      </c>
    </row>
    <row r="10" spans="1:12" x14ac:dyDescent="0.2">
      <c r="K10" t="s">
        <v>77</v>
      </c>
    </row>
    <row r="11" spans="1:12" x14ac:dyDescent="0.2">
      <c r="A11" t="s">
        <v>65</v>
      </c>
      <c r="K11" t="s">
        <v>78</v>
      </c>
    </row>
    <row r="12" spans="1:12" x14ac:dyDescent="0.2">
      <c r="A12">
        <v>1</v>
      </c>
      <c r="B12">
        <v>0.99151579999999995</v>
      </c>
      <c r="C12">
        <v>1.1563999999999999E-3</v>
      </c>
      <c r="D12">
        <v>-7.31</v>
      </c>
      <c r="E12">
        <v>0</v>
      </c>
      <c r="F12">
        <v>0.98925180000000001</v>
      </c>
      <c r="G12">
        <v>0.99378489999999997</v>
      </c>
    </row>
    <row r="13" spans="1:12" x14ac:dyDescent="0.2">
      <c r="K13" t="s">
        <v>79</v>
      </c>
    </row>
    <row r="14" spans="1:12" x14ac:dyDescent="0.2">
      <c r="A14" t="s">
        <v>66</v>
      </c>
      <c r="K14" t="s">
        <v>80</v>
      </c>
    </row>
    <row r="15" spans="1:12" x14ac:dyDescent="0.2">
      <c r="A15">
        <v>1</v>
      </c>
      <c r="B15">
        <v>0.99219480000000004</v>
      </c>
      <c r="C15">
        <v>7.2860000000000004E-4</v>
      </c>
      <c r="D15">
        <v>-10.67</v>
      </c>
      <c r="E15">
        <v>0</v>
      </c>
      <c r="F15">
        <v>0.99076779999999998</v>
      </c>
      <c r="G15">
        <v>0.9936239</v>
      </c>
      <c r="K15" t="s">
        <v>37</v>
      </c>
    </row>
    <row r="16" spans="1:12" x14ac:dyDescent="0.2">
      <c r="K16" t="s">
        <v>81</v>
      </c>
    </row>
    <row r="17" spans="1:7" x14ac:dyDescent="0.2">
      <c r="A17" t="s">
        <v>67</v>
      </c>
    </row>
    <row r="18" spans="1:7" x14ac:dyDescent="0.2">
      <c r="A18" t="s">
        <v>68</v>
      </c>
      <c r="B18">
        <v>1.1215550000000001</v>
      </c>
      <c r="C18">
        <v>7.1312100000000003E-2</v>
      </c>
      <c r="D18">
        <v>1.8</v>
      </c>
      <c r="E18">
        <v>7.0999999999999994E-2</v>
      </c>
      <c r="F18">
        <v>0.99014429999999998</v>
      </c>
      <c r="G18">
        <v>1.2704070000000001</v>
      </c>
    </row>
    <row r="20" spans="1:7" x14ac:dyDescent="0.2">
      <c r="A20" t="s">
        <v>69</v>
      </c>
    </row>
    <row r="21" spans="1:7" x14ac:dyDescent="0.2">
      <c r="A21" t="s">
        <v>68</v>
      </c>
      <c r="B21">
        <v>1.0279020000000001</v>
      </c>
      <c r="C21">
        <v>2.6137000000000001E-3</v>
      </c>
      <c r="D21">
        <v>10.82</v>
      </c>
      <c r="E21">
        <v>0</v>
      </c>
      <c r="F21">
        <v>1.0227919999999999</v>
      </c>
      <c r="G21">
        <v>1.0330379999999999</v>
      </c>
    </row>
    <row r="23" spans="1:7" x14ac:dyDescent="0.2">
      <c r="A23" t="s">
        <v>18</v>
      </c>
      <c r="B23">
        <v>1.1E-5</v>
      </c>
      <c r="C23" s="2">
        <v>1.2800000000000001E-7</v>
      </c>
      <c r="D23">
        <v>-987.99</v>
      </c>
      <c r="E23">
        <v>0</v>
      </c>
      <c r="F23">
        <v>1.08E-5</v>
      </c>
      <c r="G23">
        <v>1.13E-5</v>
      </c>
    </row>
    <row r="24" spans="1:7" x14ac:dyDescent="0.2">
      <c r="A24" t="s">
        <v>19</v>
      </c>
      <c r="B24">
        <v>1</v>
      </c>
      <c r="C24" t="s">
        <v>20</v>
      </c>
    </row>
    <row r="28" spans="1:7" x14ac:dyDescent="0.2">
      <c r="A28" t="s">
        <v>82</v>
      </c>
    </row>
    <row r="29" spans="1:7" x14ac:dyDescent="0.2">
      <c r="A29" s="3" t="s">
        <v>94</v>
      </c>
    </row>
    <row r="31" spans="1:7" x14ac:dyDescent="0.2">
      <c r="B31" t="s">
        <v>101</v>
      </c>
    </row>
    <row r="33" spans="1:8" x14ac:dyDescent="0.2">
      <c r="B33" t="s">
        <v>8</v>
      </c>
      <c r="C33" t="s">
        <v>61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</row>
    <row r="35" spans="1:8" x14ac:dyDescent="0.2">
      <c r="B35">
        <v>-1</v>
      </c>
      <c r="C35">
        <v>1.2651209999999999</v>
      </c>
      <c r="D35">
        <v>2.13898E-2</v>
      </c>
      <c r="E35">
        <v>13.91</v>
      </c>
      <c r="F35">
        <v>0</v>
      </c>
      <c r="G35">
        <v>1.2238849999999999</v>
      </c>
      <c r="H35">
        <v>1.307747</v>
      </c>
    </row>
    <row r="37" spans="1:8" x14ac:dyDescent="0.2">
      <c r="A37" t="s">
        <v>95</v>
      </c>
    </row>
    <row r="39" spans="1:8" x14ac:dyDescent="0.2">
      <c r="B39" t="s">
        <v>100</v>
      </c>
    </row>
    <row r="42" spans="1:8" x14ac:dyDescent="0.2">
      <c r="B42" t="s">
        <v>8</v>
      </c>
      <c r="C42" t="s">
        <v>61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</row>
    <row r="44" spans="1:8" x14ac:dyDescent="0.2">
      <c r="B44">
        <v>-1</v>
      </c>
      <c r="C44">
        <v>1.418903</v>
      </c>
      <c r="D44">
        <v>8.6970400000000003E-2</v>
      </c>
      <c r="E44">
        <v>5.71</v>
      </c>
      <c r="F44">
        <v>0</v>
      </c>
      <c r="G44">
        <v>1.2582850000000001</v>
      </c>
      <c r="H44">
        <v>1.6000239999999999</v>
      </c>
    </row>
    <row r="46" spans="1:8" x14ac:dyDescent="0.2">
      <c r="A46" t="s">
        <v>96</v>
      </c>
    </row>
    <row r="47" spans="1:8" x14ac:dyDescent="0.2">
      <c r="B47" t="s">
        <v>99</v>
      </c>
    </row>
    <row r="50" spans="1:8" x14ac:dyDescent="0.2">
      <c r="B50" t="s">
        <v>8</v>
      </c>
      <c r="C50" t="s">
        <v>61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</row>
    <row r="52" spans="1:8" x14ac:dyDescent="0.2">
      <c r="B52">
        <v>-1</v>
      </c>
      <c r="C52">
        <v>1.0178830000000001</v>
      </c>
      <c r="D52">
        <v>3.3129999999999998E-4</v>
      </c>
      <c r="E52">
        <v>54.46</v>
      </c>
      <c r="F52">
        <v>0</v>
      </c>
      <c r="G52">
        <v>1.017234</v>
      </c>
      <c r="H52">
        <v>1.0185329999999999</v>
      </c>
    </row>
    <row r="56" spans="1:8" x14ac:dyDescent="0.2">
      <c r="A56" t="s">
        <v>97</v>
      </c>
    </row>
    <row r="57" spans="1:8" x14ac:dyDescent="0.2">
      <c r="B57" t="s">
        <v>98</v>
      </c>
    </row>
    <row r="60" spans="1:8" x14ac:dyDescent="0.2">
      <c r="B60" t="s">
        <v>8</v>
      </c>
      <c r="C60" t="s">
        <v>61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</row>
    <row r="62" spans="1:8" x14ac:dyDescent="0.2">
      <c r="B62">
        <v>-1</v>
      </c>
      <c r="C62">
        <v>1.009247</v>
      </c>
      <c r="D62">
        <v>1.1303999999999999E-3</v>
      </c>
      <c r="E62">
        <v>8.2200000000000006</v>
      </c>
      <c r="F62">
        <v>0</v>
      </c>
      <c r="G62">
        <v>1.007034</v>
      </c>
      <c r="H62">
        <v>1.0114650000000001</v>
      </c>
    </row>
    <row r="66" spans="1:8" x14ac:dyDescent="0.2">
      <c r="A66" t="s">
        <v>102</v>
      </c>
    </row>
    <row r="67" spans="1:8" x14ac:dyDescent="0.2">
      <c r="B67" t="s">
        <v>103</v>
      </c>
    </row>
    <row r="70" spans="1:8" x14ac:dyDescent="0.2">
      <c r="B70" t="s">
        <v>8</v>
      </c>
      <c r="C70" t="s">
        <v>61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</row>
    <row r="72" spans="1:8" x14ac:dyDescent="0.2">
      <c r="B72">
        <v>-1</v>
      </c>
      <c r="C72">
        <v>1.0099389999999999</v>
      </c>
      <c r="D72">
        <v>6.648E-4</v>
      </c>
      <c r="E72">
        <v>15.02</v>
      </c>
      <c r="F72">
        <v>0</v>
      </c>
      <c r="G72">
        <v>1.0086360000000001</v>
      </c>
      <c r="H72">
        <v>1.011242</v>
      </c>
    </row>
    <row r="76" spans="1:8" x14ac:dyDescent="0.2">
      <c r="A76" t="s">
        <v>104</v>
      </c>
    </row>
    <row r="77" spans="1:8" x14ac:dyDescent="0.2">
      <c r="B77" t="s">
        <v>105</v>
      </c>
    </row>
    <row r="80" spans="1:8" x14ac:dyDescent="0.2">
      <c r="B80" t="s">
        <v>8</v>
      </c>
      <c r="C80" t="s">
        <v>61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</row>
    <row r="82" spans="2:8" x14ac:dyDescent="0.2">
      <c r="B82">
        <v>-1</v>
      </c>
      <c r="C82">
        <v>1.0293110000000001</v>
      </c>
      <c r="D82">
        <v>2.2249000000000001E-3</v>
      </c>
      <c r="E82">
        <v>13.37</v>
      </c>
      <c r="F82">
        <v>0</v>
      </c>
      <c r="G82">
        <v>1.024959</v>
      </c>
      <c r="H82">
        <v>1.0336810000000001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Oregon</vt:lpstr>
      <vt:lpstr>California</vt:lpstr>
      <vt:lpstr>Washington</vt:lpstr>
      <vt:lpstr>Nevada</vt:lpstr>
      <vt:lpstr>Idaho</vt:lpstr>
      <vt:lpstr>Wrong model for Oregon</vt:lpstr>
      <vt:lpstr>Diff-in-diff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Gilmour</dc:creator>
  <cp:lastModifiedBy>Stuart Gilmour</cp:lastModifiedBy>
  <dcterms:created xsi:type="dcterms:W3CDTF">2025-12-03T01:00:37Z</dcterms:created>
  <dcterms:modified xsi:type="dcterms:W3CDTF">2025-12-03T08:23:11Z</dcterms:modified>
</cp:coreProperties>
</file>